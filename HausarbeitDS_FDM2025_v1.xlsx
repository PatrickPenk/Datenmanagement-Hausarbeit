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Kerstin SSD/BIDS-Kurs/2025/"/>
    </mc:Choice>
  </mc:AlternateContent>
  <xr:revisionPtr revIDLastSave="0" documentId="13_ncr:1_{ECA287C2-E70D-D54D-AB1B-40EF05A9EB53}" xr6:coauthVersionLast="47" xr6:coauthVersionMax="47" xr10:uidLastSave="{00000000-0000-0000-0000-000000000000}"/>
  <bookViews>
    <workbookView xWindow="35320" yWindow="920" windowWidth="27840" windowHeight="16740" xr2:uid="{B78C49EF-4134-F541-BDB5-1131132E1B3C}"/>
  </bookViews>
  <sheets>
    <sheet name="Hausarbeit25_FDM-Date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M2" i="1"/>
  <c r="M3" i="1"/>
  <c r="M4" i="1"/>
  <c r="M5" i="1"/>
  <c r="I6" i="1"/>
  <c r="M6" i="1"/>
  <c r="I7" i="1"/>
  <c r="M7" i="1"/>
  <c r="I8" i="1"/>
  <c r="M8" i="1"/>
  <c r="I9" i="1"/>
  <c r="M9" i="1"/>
  <c r="I10" i="1"/>
  <c r="M10" i="1"/>
  <c r="I11" i="1"/>
  <c r="M11" i="1"/>
  <c r="I12" i="1"/>
  <c r="M12" i="1"/>
  <c r="I13" i="1"/>
  <c r="M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9" i="1"/>
  <c r="I30" i="1"/>
</calcChain>
</file>

<file path=xl/sharedStrings.xml><?xml version="1.0" encoding="utf-8"?>
<sst xmlns="http://schemas.openxmlformats.org/spreadsheetml/2006/main" count="305" uniqueCount="102">
  <si>
    <t>ja</t>
  </si>
  <si>
    <t>Müdigkeit</t>
  </si>
  <si>
    <t>6.5 Monate</t>
  </si>
  <si>
    <t>3x/Tag (100mg)</t>
  </si>
  <si>
    <t>nein</t>
  </si>
  <si>
    <t>Hypertonie</t>
  </si>
  <si>
    <t>männlich</t>
  </si>
  <si>
    <t>Weckerl Z</t>
  </si>
  <si>
    <t>Herzrasen</t>
  </si>
  <si>
    <t>4 Monate</t>
  </si>
  <si>
    <t>weiblich</t>
  </si>
  <si>
    <t>Balder U</t>
  </si>
  <si>
    <t>Nichtraucher</t>
  </si>
  <si>
    <t>Seitenstechen</t>
  </si>
  <si>
    <t>5.5 Monate</t>
  </si>
  <si>
    <t>female</t>
  </si>
  <si>
    <t>26.10.20</t>
  </si>
  <si>
    <t>25-04-2020</t>
  </si>
  <si>
    <t>Fischer L</t>
  </si>
  <si>
    <t>Erbrechen</t>
  </si>
  <si>
    <t>15.5.21</t>
  </si>
  <si>
    <t>17-11-2020</t>
  </si>
  <si>
    <t>Bauer Y</t>
  </si>
  <si>
    <t>Starker Raucher</t>
  </si>
  <si>
    <t>Durchfall</t>
  </si>
  <si>
    <t>6 Monate</t>
  </si>
  <si>
    <t>Oettinger T</t>
  </si>
  <si>
    <t>Bauchschmerzen</t>
  </si>
  <si>
    <t>mm</t>
  </si>
  <si>
    <t>02-05-2021</t>
  </si>
  <si>
    <t>04-12-2020</t>
  </si>
  <si>
    <t>Paulaner O</t>
  </si>
  <si>
    <t>Migräne</t>
  </si>
  <si>
    <t>Storck M</t>
  </si>
  <si>
    <t>Kopfschmerzen</t>
  </si>
  <si>
    <t>Ingolstädter T</t>
  </si>
  <si>
    <t>ausgefüllt</t>
  </si>
  <si>
    <t>fehlt</t>
  </si>
  <si>
    <t>03-31-2022</t>
  </si>
  <si>
    <t>09-30-2021</t>
  </si>
  <si>
    <t>Hauenstein C</t>
  </si>
  <si>
    <t>keine</t>
  </si>
  <si>
    <t>04-05-2021</t>
  </si>
  <si>
    <t>04-11-2020</t>
  </si>
  <si>
    <t>Alfonso B</t>
  </si>
  <si>
    <t>Hypotonie</t>
  </si>
  <si>
    <t>2020-Jul-03</t>
  </si>
  <si>
    <t>2020-Jan-30</t>
  </si>
  <si>
    <t>Becker Z</t>
  </si>
  <si>
    <t>male</t>
  </si>
  <si>
    <t>Rosen K</t>
  </si>
  <si>
    <t>vergessen</t>
  </si>
  <si>
    <t>03-30-2022</t>
  </si>
  <si>
    <t>Tulpen P</t>
  </si>
  <si>
    <t>Veillchen O</t>
  </si>
  <si>
    <t>03-03-2021</t>
  </si>
  <si>
    <t>15-10-2020</t>
  </si>
  <si>
    <t>Obelix O</t>
  </si>
  <si>
    <t>Asterix A</t>
  </si>
  <si>
    <t>m</t>
  </si>
  <si>
    <t>König R</t>
  </si>
  <si>
    <t>06-05-2021</t>
  </si>
  <si>
    <t>Dame K</t>
  </si>
  <si>
    <t>Hpertonie</t>
  </si>
  <si>
    <t>Passage W</t>
  </si>
  <si>
    <t>Strand A</t>
  </si>
  <si>
    <t>ww</t>
  </si>
  <si>
    <t>Wald R</t>
  </si>
  <si>
    <t>Fensterle T</t>
  </si>
  <si>
    <t>01-06-2021</t>
  </si>
  <si>
    <t>Post A</t>
  </si>
  <si>
    <t>Obstler C</t>
  </si>
  <si>
    <t>Metzger B</t>
  </si>
  <si>
    <t>09-Mar-2022</t>
  </si>
  <si>
    <t>Bäcker B</t>
  </si>
  <si>
    <t>30-05-2021</t>
  </si>
  <si>
    <t>Schulze F</t>
  </si>
  <si>
    <t>w</t>
  </si>
  <si>
    <t>2020-Jun-30</t>
  </si>
  <si>
    <t>Müller A</t>
  </si>
  <si>
    <t>Meier R</t>
  </si>
  <si>
    <t>Raucherstatus</t>
  </si>
  <si>
    <t>Nebenwirkungen</t>
  </si>
  <si>
    <t>Behandlungsdauer</t>
  </si>
  <si>
    <t>Medikament Name</t>
  </si>
  <si>
    <t>Medikament Dosierung</t>
  </si>
  <si>
    <t>Bewegungsprotokoll</t>
  </si>
  <si>
    <t>Blutdruck post dia</t>
  </si>
  <si>
    <t>Blutdruck pre dia</t>
  </si>
  <si>
    <t>Blutdruck post syst</t>
  </si>
  <si>
    <t>Blutdruck pre sys</t>
  </si>
  <si>
    <t>Diagnose</t>
  </si>
  <si>
    <t>BMI</t>
  </si>
  <si>
    <t>Größe</t>
  </si>
  <si>
    <t>Gewicht</t>
  </si>
  <si>
    <t>Geschlecht</t>
  </si>
  <si>
    <t>Datum U2</t>
  </si>
  <si>
    <t>Datum U1</t>
  </si>
  <si>
    <t>Alter</t>
  </si>
  <si>
    <t>Name</t>
  </si>
  <si>
    <t>Pat_ID</t>
  </si>
  <si>
    <t>Bewegungsdaten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</si>
</sst>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4" fontId="0" fillId="0" borderId="0" xfId="0" applyNumberFormat="1"/>
    <xf numFmtId="49" fontId="0" fillId="0" borderId="0" xfId="0" applyNumberFormat="1"/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270A4-D1D4-C243-889C-798728DC1DE7}">
  <dimension ref="A1:U41"/>
  <sheetViews>
    <sheetView tabSelected="1" topLeftCell="I1" workbookViewId="0">
      <selection activeCell="O2" sqref="O2"/>
    </sheetView>
  </sheetViews>
  <sheetFormatPr baseColWidth="10" defaultRowHeight="16" x14ac:dyDescent="0.2"/>
  <cols>
    <col min="1" max="1" width="8.33203125" customWidth="1"/>
    <col min="2" max="2" width="13.1640625" customWidth="1"/>
    <col min="9" max="9" width="7.83203125" customWidth="1"/>
    <col min="10" max="10" width="12" customWidth="1"/>
    <col min="11" max="11" width="12.1640625" customWidth="1"/>
    <col min="12" max="14" width="13.83203125" customWidth="1"/>
    <col min="15" max="16" width="19.5" customWidth="1"/>
    <col min="17" max="17" width="19.1640625" customWidth="1"/>
    <col min="18" max="18" width="17.83203125" customWidth="1"/>
    <col min="19" max="19" width="29" customWidth="1"/>
    <col min="20" max="20" width="16.33203125" customWidth="1"/>
    <col min="21" max="21" width="18.1640625" customWidth="1"/>
  </cols>
  <sheetData>
    <row r="1" spans="1:21" x14ac:dyDescent="0.2">
      <c r="A1" t="s">
        <v>100</v>
      </c>
      <c r="B1" t="s">
        <v>99</v>
      </c>
      <c r="C1" t="s">
        <v>98</v>
      </c>
      <c r="D1" t="s">
        <v>97</v>
      </c>
      <c r="E1" t="s">
        <v>96</v>
      </c>
      <c r="F1" t="s">
        <v>95</v>
      </c>
      <c r="G1" t="s">
        <v>94</v>
      </c>
      <c r="H1" t="s">
        <v>93</v>
      </c>
      <c r="I1" t="s">
        <v>92</v>
      </c>
      <c r="J1" t="s">
        <v>91</v>
      </c>
      <c r="K1" t="s">
        <v>90</v>
      </c>
      <c r="L1" t="s">
        <v>89</v>
      </c>
      <c r="M1" t="s">
        <v>88</v>
      </c>
      <c r="N1" t="s">
        <v>87</v>
      </c>
      <c r="O1" t="s">
        <v>86</v>
      </c>
      <c r="P1" t="s">
        <v>101</v>
      </c>
      <c r="Q1" t="s">
        <v>85</v>
      </c>
      <c r="R1" t="s">
        <v>84</v>
      </c>
      <c r="S1" t="s">
        <v>83</v>
      </c>
      <c r="T1" t="s">
        <v>82</v>
      </c>
      <c r="U1" t="s">
        <v>81</v>
      </c>
    </row>
    <row r="2" spans="1:21" x14ac:dyDescent="0.2">
      <c r="A2">
        <v>30010</v>
      </c>
      <c r="B2" t="s">
        <v>80</v>
      </c>
      <c r="C2">
        <v>70</v>
      </c>
      <c r="D2" s="5">
        <v>43831</v>
      </c>
      <c r="E2" s="5">
        <v>43799</v>
      </c>
      <c r="F2" t="s">
        <v>59</v>
      </c>
      <c r="G2">
        <v>78</v>
      </c>
      <c r="H2" s="2">
        <v>1.7</v>
      </c>
      <c r="I2" s="2">
        <f>+G2/(H2*H2)</f>
        <v>26.989619377162633</v>
      </c>
      <c r="J2" s="2" t="s">
        <v>5</v>
      </c>
      <c r="K2">
        <v>135</v>
      </c>
      <c r="L2" s="1">
        <v>126.05906239978765</v>
      </c>
      <c r="M2" s="1">
        <f>+N2+7</f>
        <v>107</v>
      </c>
      <c r="N2" s="1">
        <v>100</v>
      </c>
      <c r="O2" t="s">
        <v>0</v>
      </c>
      <c r="P2" t="s">
        <v>0</v>
      </c>
      <c r="Q2" t="s">
        <v>3</v>
      </c>
      <c r="S2" t="s">
        <v>25</v>
      </c>
      <c r="T2" t="s">
        <v>34</v>
      </c>
      <c r="U2" t="s">
        <v>0</v>
      </c>
    </row>
    <row r="3" spans="1:21" x14ac:dyDescent="0.2">
      <c r="A3">
        <v>30011</v>
      </c>
      <c r="B3" t="s">
        <v>79</v>
      </c>
      <c r="C3">
        <v>55</v>
      </c>
      <c r="D3" t="s">
        <v>47</v>
      </c>
      <c r="E3" t="s">
        <v>78</v>
      </c>
      <c r="F3" t="s">
        <v>77</v>
      </c>
      <c r="G3">
        <v>77</v>
      </c>
      <c r="H3" s="2">
        <v>165</v>
      </c>
      <c r="I3" s="2">
        <v>28</v>
      </c>
      <c r="J3" s="2" t="s">
        <v>5</v>
      </c>
      <c r="K3">
        <v>136</v>
      </c>
      <c r="L3" s="1">
        <v>169.4565665512516</v>
      </c>
      <c r="M3" s="1">
        <f>+N3+7</f>
        <v>82.451693575293476</v>
      </c>
      <c r="N3" s="1">
        <v>75.451693575293476</v>
      </c>
      <c r="O3" t="s">
        <v>4</v>
      </c>
      <c r="P3" t="s">
        <v>0</v>
      </c>
      <c r="Q3" t="s">
        <v>3</v>
      </c>
      <c r="S3" t="s">
        <v>2</v>
      </c>
      <c r="T3" t="s">
        <v>32</v>
      </c>
      <c r="U3" t="s">
        <v>4</v>
      </c>
    </row>
    <row r="4" spans="1:21" x14ac:dyDescent="0.2">
      <c r="A4">
        <v>30012</v>
      </c>
      <c r="B4" t="s">
        <v>76</v>
      </c>
      <c r="C4">
        <v>78</v>
      </c>
      <c r="D4" s="6" t="s">
        <v>43</v>
      </c>
      <c r="E4" s="6" t="s">
        <v>75</v>
      </c>
      <c r="F4" s="7">
        <v>1</v>
      </c>
      <c r="G4">
        <v>78</v>
      </c>
      <c r="H4" s="3">
        <v>155</v>
      </c>
      <c r="I4" s="2">
        <v>30</v>
      </c>
      <c r="J4" s="2" t="s">
        <v>45</v>
      </c>
      <c r="K4">
        <v>137</v>
      </c>
      <c r="L4" s="1">
        <v>185.01504612351943</v>
      </c>
      <c r="M4" s="1">
        <f>+N4+7</f>
        <v>104.68708119376581</v>
      </c>
      <c r="N4" s="1">
        <v>97.687081193765806</v>
      </c>
      <c r="O4" t="s">
        <v>36</v>
      </c>
      <c r="P4" t="s">
        <v>4</v>
      </c>
      <c r="Q4" t="s">
        <v>3</v>
      </c>
      <c r="S4" t="s">
        <v>14</v>
      </c>
      <c r="T4" t="s">
        <v>27</v>
      </c>
      <c r="U4" t="s">
        <v>12</v>
      </c>
    </row>
    <row r="5" spans="1:21" x14ac:dyDescent="0.2">
      <c r="A5">
        <v>30013</v>
      </c>
      <c r="B5" t="s">
        <v>74</v>
      </c>
      <c r="C5">
        <v>45</v>
      </c>
      <c r="D5" t="s">
        <v>39</v>
      </c>
      <c r="E5" t="s">
        <v>73</v>
      </c>
      <c r="F5" s="7">
        <v>3</v>
      </c>
      <c r="G5">
        <v>79</v>
      </c>
      <c r="H5" s="3">
        <v>177</v>
      </c>
      <c r="I5" s="2">
        <v>24</v>
      </c>
      <c r="J5" s="2" t="s">
        <v>41</v>
      </c>
      <c r="K5">
        <v>138</v>
      </c>
      <c r="L5" s="1">
        <v>141.05756289077036</v>
      </c>
      <c r="M5" s="1">
        <f>+N5+7</f>
        <v>107</v>
      </c>
      <c r="N5" s="1">
        <v>100</v>
      </c>
      <c r="O5" t="s">
        <v>0</v>
      </c>
      <c r="P5" t="s">
        <v>4</v>
      </c>
      <c r="Q5" t="s">
        <v>3</v>
      </c>
      <c r="S5" t="s">
        <v>9</v>
      </c>
      <c r="T5" t="s">
        <v>24</v>
      </c>
      <c r="U5" t="s">
        <v>23</v>
      </c>
    </row>
    <row r="6" spans="1:21" x14ac:dyDescent="0.2">
      <c r="A6">
        <v>30014</v>
      </c>
      <c r="B6" t="s">
        <v>72</v>
      </c>
      <c r="C6">
        <v>65</v>
      </c>
      <c r="D6" s="5">
        <v>43862</v>
      </c>
      <c r="E6" s="5">
        <v>44047</v>
      </c>
      <c r="F6" t="s">
        <v>6</v>
      </c>
      <c r="G6">
        <v>80</v>
      </c>
      <c r="H6" s="3">
        <v>1.89</v>
      </c>
      <c r="I6" s="2">
        <f>+G6/(H6*H6)</f>
        <v>22.395789591556788</v>
      </c>
      <c r="J6" s="2" t="s">
        <v>37</v>
      </c>
      <c r="K6">
        <v>139</v>
      </c>
      <c r="L6" s="1">
        <v>167.11715345719603</v>
      </c>
      <c r="M6" s="1">
        <f>+N6+7</f>
        <v>78.638681164498806</v>
      </c>
      <c r="N6" s="1">
        <v>71.638681164498806</v>
      </c>
      <c r="O6" t="s">
        <v>0</v>
      </c>
      <c r="P6" t="s">
        <v>0</v>
      </c>
      <c r="Q6" t="s">
        <v>3</v>
      </c>
      <c r="S6" t="s">
        <v>2</v>
      </c>
      <c r="T6" t="s">
        <v>19</v>
      </c>
      <c r="U6" t="s">
        <v>0</v>
      </c>
    </row>
    <row r="7" spans="1:21" x14ac:dyDescent="0.2">
      <c r="A7">
        <v>30015</v>
      </c>
      <c r="B7" t="s">
        <v>71</v>
      </c>
      <c r="C7">
        <v>71</v>
      </c>
      <c r="D7" s="5">
        <v>44012</v>
      </c>
      <c r="E7" s="5">
        <v>44206</v>
      </c>
      <c r="F7" t="s">
        <v>10</v>
      </c>
      <c r="G7">
        <v>81</v>
      </c>
      <c r="H7" s="3">
        <v>1.87</v>
      </c>
      <c r="I7" s="2">
        <f>+G7/(H7*H7)</f>
        <v>23.163373273470786</v>
      </c>
      <c r="J7" s="2" t="s">
        <v>5</v>
      </c>
      <c r="K7">
        <v>140</v>
      </c>
      <c r="L7" s="1">
        <v>99.950304573259075</v>
      </c>
      <c r="M7" s="1">
        <f>+N7+7</f>
        <v>100.21417373806609</v>
      </c>
      <c r="N7" s="1">
        <v>93.214173738066094</v>
      </c>
      <c r="O7" t="s">
        <v>0</v>
      </c>
      <c r="P7" t="s">
        <v>0</v>
      </c>
      <c r="Q7" t="s">
        <v>3</v>
      </c>
      <c r="S7" t="s">
        <v>14</v>
      </c>
      <c r="T7" t="s">
        <v>13</v>
      </c>
      <c r="U7" t="s">
        <v>4</v>
      </c>
    </row>
    <row r="8" spans="1:21" x14ac:dyDescent="0.2">
      <c r="A8">
        <v>30016</v>
      </c>
      <c r="B8" t="s">
        <v>70</v>
      </c>
      <c r="C8">
        <v>38</v>
      </c>
      <c r="D8" s="6" t="s">
        <v>30</v>
      </c>
      <c r="E8" s="6" t="s">
        <v>69</v>
      </c>
      <c r="F8" t="s">
        <v>15</v>
      </c>
      <c r="G8">
        <v>82</v>
      </c>
      <c r="H8" s="3">
        <v>1.55</v>
      </c>
      <c r="I8" s="2">
        <f>+G8/(H8*H8)</f>
        <v>34.131113423517164</v>
      </c>
      <c r="J8" s="2" t="s">
        <v>5</v>
      </c>
      <c r="K8">
        <v>141</v>
      </c>
      <c r="L8" s="1">
        <v>125.67424605623248</v>
      </c>
      <c r="M8" s="1">
        <f>+N8+7</f>
        <v>77.02510303253797</v>
      </c>
      <c r="N8" s="1">
        <v>70.02510303253797</v>
      </c>
      <c r="O8" t="s">
        <v>4</v>
      </c>
      <c r="P8" t="s">
        <v>4</v>
      </c>
      <c r="Q8" t="s">
        <v>3</v>
      </c>
      <c r="S8" t="s">
        <v>2</v>
      </c>
      <c r="T8" t="s">
        <v>8</v>
      </c>
      <c r="U8" t="s">
        <v>12</v>
      </c>
    </row>
    <row r="9" spans="1:21" x14ac:dyDescent="0.2">
      <c r="A9">
        <v>30017</v>
      </c>
      <c r="B9" t="s">
        <v>68</v>
      </c>
      <c r="C9">
        <v>77</v>
      </c>
      <c r="D9" t="s">
        <v>39</v>
      </c>
      <c r="E9" t="s">
        <v>38</v>
      </c>
      <c r="F9" t="s">
        <v>49</v>
      </c>
      <c r="G9">
        <v>83</v>
      </c>
      <c r="H9" s="3">
        <v>1.76</v>
      </c>
      <c r="I9" s="2">
        <f>+G9/(H9*H9)</f>
        <v>26.794938016528928</v>
      </c>
      <c r="J9" s="2" t="s">
        <v>45</v>
      </c>
      <c r="K9">
        <v>142</v>
      </c>
      <c r="L9" s="1">
        <v>187.42688015834568</v>
      </c>
      <c r="M9" s="1">
        <f>+N9+7</f>
        <v>102.42396882089429</v>
      </c>
      <c r="N9" s="1">
        <v>95.423968820894288</v>
      </c>
      <c r="O9" t="s">
        <v>51</v>
      </c>
      <c r="P9" t="s">
        <v>4</v>
      </c>
      <c r="Q9" t="s">
        <v>3</v>
      </c>
      <c r="S9" t="s">
        <v>14</v>
      </c>
      <c r="T9" t="s">
        <v>1</v>
      </c>
      <c r="U9" t="s">
        <v>23</v>
      </c>
    </row>
    <row r="10" spans="1:21" x14ac:dyDescent="0.2">
      <c r="A10">
        <v>30018</v>
      </c>
      <c r="B10" t="s">
        <v>67</v>
      </c>
      <c r="C10">
        <v>19</v>
      </c>
      <c r="D10" t="s">
        <v>39</v>
      </c>
      <c r="E10" t="s">
        <v>38</v>
      </c>
      <c r="F10" t="s">
        <v>66</v>
      </c>
      <c r="G10">
        <v>84</v>
      </c>
      <c r="H10" s="3">
        <v>1.71</v>
      </c>
      <c r="I10" s="2">
        <f>+G10/(H10*H10)</f>
        <v>28.726787729557817</v>
      </c>
      <c r="J10" s="2" t="s">
        <v>41</v>
      </c>
      <c r="K10">
        <v>150</v>
      </c>
      <c r="L10" s="1">
        <v>108.12900284998955</v>
      </c>
      <c r="M10" s="1">
        <f>+N10+7</f>
        <v>98.171792191254724</v>
      </c>
      <c r="N10" s="1">
        <v>91.171792191254724</v>
      </c>
      <c r="O10" t="s">
        <v>0</v>
      </c>
      <c r="P10" t="s">
        <v>4</v>
      </c>
      <c r="Q10" t="s">
        <v>3</v>
      </c>
      <c r="S10" t="s">
        <v>9</v>
      </c>
      <c r="T10" t="s">
        <v>13</v>
      </c>
      <c r="U10" t="s">
        <v>12</v>
      </c>
    </row>
    <row r="11" spans="1:21" x14ac:dyDescent="0.2">
      <c r="A11">
        <v>30019</v>
      </c>
      <c r="B11" t="s">
        <v>65</v>
      </c>
      <c r="C11">
        <v>55</v>
      </c>
      <c r="D11" s="5">
        <v>43862</v>
      </c>
      <c r="E11" s="5">
        <v>44044</v>
      </c>
      <c r="F11" t="s">
        <v>28</v>
      </c>
      <c r="G11">
        <v>85</v>
      </c>
      <c r="H11" s="3">
        <v>1.73</v>
      </c>
      <c r="I11" s="2">
        <f>+G11/(H11*H11)</f>
        <v>28.400547963513649</v>
      </c>
      <c r="J11" s="2" t="s">
        <v>37</v>
      </c>
      <c r="K11">
        <v>151</v>
      </c>
      <c r="L11" s="1">
        <v>170.89650234024705</v>
      </c>
      <c r="M11" s="1">
        <f>+N11+7</f>
        <v>79.765450752680607</v>
      </c>
      <c r="N11" s="1">
        <v>72.765450752680607</v>
      </c>
      <c r="O11" t="s">
        <v>4</v>
      </c>
      <c r="P11" t="s">
        <v>0</v>
      </c>
      <c r="Q11" t="s">
        <v>3</v>
      </c>
      <c r="S11" t="s">
        <v>25</v>
      </c>
      <c r="T11" t="s">
        <v>8</v>
      </c>
      <c r="U11" t="s">
        <v>12</v>
      </c>
    </row>
    <row r="12" spans="1:21" x14ac:dyDescent="0.2">
      <c r="A12">
        <v>30020</v>
      </c>
      <c r="B12" t="s">
        <v>64</v>
      </c>
      <c r="C12">
        <v>54</v>
      </c>
      <c r="D12" s="5">
        <v>44012</v>
      </c>
      <c r="E12" s="5">
        <v>44201</v>
      </c>
      <c r="F12" t="s">
        <v>15</v>
      </c>
      <c r="G12">
        <v>98</v>
      </c>
      <c r="H12" s="3">
        <v>1.66</v>
      </c>
      <c r="I12" s="2">
        <f>+G12/(H12*H12)</f>
        <v>35.563942517056176</v>
      </c>
      <c r="J12" s="2" t="s">
        <v>63</v>
      </c>
      <c r="K12">
        <v>152</v>
      </c>
      <c r="L12" s="1">
        <v>162.95463863820322</v>
      </c>
      <c r="M12" s="1">
        <f>+N12+7</f>
        <v>94.683934440672942</v>
      </c>
      <c r="N12" s="1">
        <v>87.683934440672942</v>
      </c>
      <c r="O12" t="s">
        <v>36</v>
      </c>
      <c r="P12" t="s">
        <v>0</v>
      </c>
      <c r="Q12" t="s">
        <v>3</v>
      </c>
      <c r="S12" t="s">
        <v>2</v>
      </c>
      <c r="T12" t="s">
        <v>1</v>
      </c>
      <c r="U12" t="s">
        <v>12</v>
      </c>
    </row>
    <row r="13" spans="1:21" x14ac:dyDescent="0.2">
      <c r="A13">
        <v>30021</v>
      </c>
      <c r="B13" t="s">
        <v>62</v>
      </c>
      <c r="C13">
        <v>67</v>
      </c>
      <c r="D13" s="6" t="s">
        <v>30</v>
      </c>
      <c r="E13" s="6" t="s">
        <v>61</v>
      </c>
      <c r="F13" t="s">
        <v>59</v>
      </c>
      <c r="G13">
        <v>98</v>
      </c>
      <c r="H13" s="3">
        <v>1.55</v>
      </c>
      <c r="I13" s="2">
        <f>+G13/(H13*H13)</f>
        <v>40.790842872008319</v>
      </c>
      <c r="J13" s="2" t="s">
        <v>41</v>
      </c>
      <c r="K13">
        <v>153</v>
      </c>
      <c r="L13" s="1">
        <v>199.53924146006744</v>
      </c>
      <c r="M13" s="1">
        <f>+N13+7</f>
        <v>7</v>
      </c>
      <c r="N13" s="1">
        <v>0</v>
      </c>
      <c r="O13" t="s">
        <v>0</v>
      </c>
      <c r="P13" t="s">
        <v>4</v>
      </c>
      <c r="Q13" t="s">
        <v>3</v>
      </c>
      <c r="S13" t="s">
        <v>14</v>
      </c>
      <c r="T13" t="s">
        <v>1</v>
      </c>
      <c r="U13" t="s">
        <v>23</v>
      </c>
    </row>
    <row r="14" spans="1:21" x14ac:dyDescent="0.2">
      <c r="A14">
        <v>30022</v>
      </c>
      <c r="B14" t="s">
        <v>60</v>
      </c>
      <c r="C14">
        <v>66</v>
      </c>
      <c r="D14" s="5">
        <v>43893</v>
      </c>
      <c r="E14" s="5">
        <v>44077</v>
      </c>
      <c r="F14" t="s">
        <v>59</v>
      </c>
      <c r="G14">
        <v>67</v>
      </c>
      <c r="H14" s="3">
        <v>1.99</v>
      </c>
      <c r="I14" s="2">
        <f>+G14/(H14*H14)</f>
        <v>16.918764677659656</v>
      </c>
      <c r="J14" s="2" t="s">
        <v>5</v>
      </c>
      <c r="K14">
        <v>154</v>
      </c>
      <c r="L14" s="1">
        <v>218.86221720141631</v>
      </c>
      <c r="M14" s="1">
        <v>83.808609288706208</v>
      </c>
      <c r="N14" s="1">
        <v>59.77402845541566</v>
      </c>
      <c r="O14" t="s">
        <v>0</v>
      </c>
      <c r="P14" t="s">
        <v>0</v>
      </c>
      <c r="Q14" t="s">
        <v>3</v>
      </c>
      <c r="S14" t="s">
        <v>14</v>
      </c>
      <c r="T14" t="s">
        <v>34</v>
      </c>
      <c r="U14" t="s">
        <v>4</v>
      </c>
    </row>
    <row r="15" spans="1:21" x14ac:dyDescent="0.2">
      <c r="A15">
        <v>30023</v>
      </c>
      <c r="B15" t="s">
        <v>58</v>
      </c>
      <c r="C15">
        <v>89</v>
      </c>
      <c r="D15" s="5">
        <v>43831</v>
      </c>
      <c r="E15" s="5">
        <v>43983</v>
      </c>
      <c r="F15" t="s">
        <v>15</v>
      </c>
      <c r="G15">
        <v>88</v>
      </c>
      <c r="H15" s="3">
        <v>1.87</v>
      </c>
      <c r="I15" s="2">
        <f>+G15/(H15*H15)</f>
        <v>25.165146272412706</v>
      </c>
      <c r="J15" s="2" t="s">
        <v>5</v>
      </c>
      <c r="K15">
        <v>155</v>
      </c>
      <c r="L15" s="1">
        <v>166.50030892376702</v>
      </c>
      <c r="M15" s="1">
        <v>97.41277381758718</v>
      </c>
      <c r="N15" s="1">
        <v>57.509066660083398</v>
      </c>
      <c r="O15" t="s">
        <v>0</v>
      </c>
      <c r="P15" t="s">
        <v>0</v>
      </c>
      <c r="Q15" t="s">
        <v>3</v>
      </c>
      <c r="S15" t="s">
        <v>9</v>
      </c>
      <c r="T15" t="s">
        <v>32</v>
      </c>
      <c r="U15" t="s">
        <v>4</v>
      </c>
    </row>
    <row r="16" spans="1:21" x14ac:dyDescent="0.2">
      <c r="A16">
        <v>30024</v>
      </c>
      <c r="B16" t="s">
        <v>57</v>
      </c>
      <c r="C16">
        <v>79</v>
      </c>
      <c r="D16" s="6" t="s">
        <v>56</v>
      </c>
      <c r="E16" s="6" t="s">
        <v>55</v>
      </c>
      <c r="F16" t="s">
        <v>6</v>
      </c>
      <c r="G16">
        <v>75</v>
      </c>
      <c r="H16" s="3">
        <v>1.8</v>
      </c>
      <c r="I16" s="2">
        <f>+G16/(H16*H16)</f>
        <v>23.148148148148145</v>
      </c>
      <c r="J16" s="2" t="s">
        <v>5</v>
      </c>
      <c r="K16">
        <v>156</v>
      </c>
      <c r="L16" s="1">
        <v>201.37483927174682</v>
      </c>
      <c r="M16" s="1">
        <v>100</v>
      </c>
      <c r="N16" s="1">
        <v>58.278038576686946</v>
      </c>
      <c r="O16" t="s">
        <v>4</v>
      </c>
      <c r="P16" t="s">
        <v>4</v>
      </c>
      <c r="Q16" t="s">
        <v>3</v>
      </c>
      <c r="S16" t="s">
        <v>25</v>
      </c>
      <c r="T16" t="s">
        <v>27</v>
      </c>
      <c r="U16" t="s">
        <v>12</v>
      </c>
    </row>
    <row r="17" spans="1:21" x14ac:dyDescent="0.2">
      <c r="A17">
        <v>30025</v>
      </c>
      <c r="B17" t="s">
        <v>54</v>
      </c>
      <c r="C17">
        <v>66</v>
      </c>
      <c r="D17" s="5">
        <v>44470</v>
      </c>
      <c r="E17" s="5">
        <v>44621</v>
      </c>
      <c r="F17" t="s">
        <v>10</v>
      </c>
      <c r="G17">
        <v>67</v>
      </c>
      <c r="H17" s="3">
        <v>1.76</v>
      </c>
      <c r="I17" s="2">
        <f>+G17/(H17*H17)</f>
        <v>21.629648760330578</v>
      </c>
      <c r="J17" s="2" t="s">
        <v>5</v>
      </c>
      <c r="K17">
        <v>157</v>
      </c>
      <c r="L17" s="1">
        <v>107.59316817559059</v>
      </c>
      <c r="M17" s="1">
        <v>75.451693575293476</v>
      </c>
      <c r="N17" s="1">
        <v>98.673187266535507</v>
      </c>
      <c r="O17" t="s">
        <v>51</v>
      </c>
      <c r="P17" t="s">
        <v>4</v>
      </c>
      <c r="Q17" t="s">
        <v>3</v>
      </c>
      <c r="S17" t="s">
        <v>9</v>
      </c>
      <c r="T17" t="s">
        <v>13</v>
      </c>
      <c r="U17" t="s">
        <v>4</v>
      </c>
    </row>
    <row r="18" spans="1:21" x14ac:dyDescent="0.2">
      <c r="A18">
        <v>30026</v>
      </c>
      <c r="B18" t="s">
        <v>53</v>
      </c>
      <c r="C18">
        <v>33</v>
      </c>
      <c r="D18" t="s">
        <v>39</v>
      </c>
      <c r="E18" t="s">
        <v>52</v>
      </c>
      <c r="F18" t="s">
        <v>15</v>
      </c>
      <c r="G18">
        <v>89</v>
      </c>
      <c r="H18" s="3">
        <v>1.71</v>
      </c>
      <c r="I18" s="2">
        <f>+G18/(H18*H18)</f>
        <v>30.436715570602924</v>
      </c>
      <c r="J18" s="2" t="s">
        <v>5</v>
      </c>
      <c r="K18">
        <v>177</v>
      </c>
      <c r="L18" s="1">
        <v>162.78372435506753</v>
      </c>
      <c r="M18" s="1">
        <v>71.638681164498806</v>
      </c>
      <c r="N18" s="1">
        <v>67.311305362497379</v>
      </c>
      <c r="O18" t="s">
        <v>51</v>
      </c>
      <c r="P18" t="s">
        <v>0</v>
      </c>
      <c r="Q18" t="s">
        <v>3</v>
      </c>
      <c r="S18" t="s">
        <v>25</v>
      </c>
      <c r="T18" t="s">
        <v>8</v>
      </c>
      <c r="U18" t="s">
        <v>12</v>
      </c>
    </row>
    <row r="19" spans="1:21" x14ac:dyDescent="0.2">
      <c r="A19">
        <v>30027</v>
      </c>
      <c r="B19" t="s">
        <v>50</v>
      </c>
      <c r="C19">
        <v>49</v>
      </c>
      <c r="D19" s="5">
        <v>43831</v>
      </c>
      <c r="E19" s="5">
        <v>43983</v>
      </c>
      <c r="F19" t="s">
        <v>49</v>
      </c>
      <c r="G19">
        <v>43</v>
      </c>
      <c r="H19" s="3">
        <v>1.73</v>
      </c>
      <c r="I19" s="2">
        <f>+G19/(H19*H19)</f>
        <v>14.367336028601022</v>
      </c>
      <c r="J19" s="2" t="s">
        <v>5</v>
      </c>
      <c r="K19">
        <v>178</v>
      </c>
      <c r="L19" s="1">
        <v>182.66997050375704</v>
      </c>
      <c r="M19" s="1">
        <v>93.214173738066094</v>
      </c>
      <c r="N19" s="1">
        <v>68.001859877271372</v>
      </c>
      <c r="O19" t="s">
        <v>0</v>
      </c>
      <c r="P19" t="s">
        <v>0</v>
      </c>
      <c r="Q19" t="s">
        <v>3</v>
      </c>
      <c r="S19" t="s">
        <v>2</v>
      </c>
      <c r="T19" t="s">
        <v>1</v>
      </c>
      <c r="U19" t="s">
        <v>4</v>
      </c>
    </row>
    <row r="20" spans="1:21" x14ac:dyDescent="0.2">
      <c r="A20">
        <v>30028</v>
      </c>
      <c r="B20" t="s">
        <v>48</v>
      </c>
      <c r="C20">
        <v>65</v>
      </c>
      <c r="D20" t="s">
        <v>47</v>
      </c>
      <c r="E20" t="s">
        <v>46</v>
      </c>
      <c r="F20" s="7">
        <v>3</v>
      </c>
      <c r="G20" s="4">
        <v>57</v>
      </c>
      <c r="H20" s="3">
        <v>1.55</v>
      </c>
      <c r="I20" s="2">
        <f>+G20/(H20*H20)</f>
        <v>23.725286160249738</v>
      </c>
      <c r="J20" s="2" t="s">
        <v>45</v>
      </c>
      <c r="K20">
        <v>179</v>
      </c>
      <c r="L20" s="1">
        <v>179.04391791540019</v>
      </c>
      <c r="M20" s="1">
        <v>70.02510303253797</v>
      </c>
      <c r="N20" s="1">
        <v>83.808609288706208</v>
      </c>
      <c r="O20" t="s">
        <v>0</v>
      </c>
      <c r="P20" t="s">
        <v>4</v>
      </c>
      <c r="Q20" t="s">
        <v>3</v>
      </c>
      <c r="S20" t="s">
        <v>14</v>
      </c>
      <c r="T20" t="s">
        <v>34</v>
      </c>
      <c r="U20" t="s">
        <v>12</v>
      </c>
    </row>
    <row r="21" spans="1:21" x14ac:dyDescent="0.2">
      <c r="A21">
        <v>30029</v>
      </c>
      <c r="B21" t="s">
        <v>44</v>
      </c>
      <c r="C21">
        <v>60</v>
      </c>
      <c r="D21" s="6" t="s">
        <v>43</v>
      </c>
      <c r="E21" s="6" t="s">
        <v>42</v>
      </c>
      <c r="F21" s="7">
        <v>1</v>
      </c>
      <c r="G21" s="4">
        <v>90</v>
      </c>
      <c r="H21" s="3">
        <v>1.99</v>
      </c>
      <c r="I21" s="2">
        <f>+G21/(H21*H21)</f>
        <v>22.72669882073685</v>
      </c>
      <c r="J21" s="2" t="s">
        <v>41</v>
      </c>
      <c r="K21">
        <v>180</v>
      </c>
      <c r="L21" s="1">
        <v>147.5863942970856</v>
      </c>
      <c r="M21" s="1">
        <v>95.423968820894288</v>
      </c>
      <c r="N21" s="1">
        <v>97.41277381758718</v>
      </c>
      <c r="O21" t="s">
        <v>4</v>
      </c>
      <c r="P21" t="s">
        <v>4</v>
      </c>
      <c r="Q21" t="s">
        <v>3</v>
      </c>
      <c r="S21" t="s">
        <v>25</v>
      </c>
      <c r="T21" t="s">
        <v>32</v>
      </c>
      <c r="U21" t="s">
        <v>23</v>
      </c>
    </row>
    <row r="22" spans="1:21" x14ac:dyDescent="0.2">
      <c r="A22">
        <v>30030</v>
      </c>
      <c r="B22" t="s">
        <v>40</v>
      </c>
      <c r="C22">
        <v>69</v>
      </c>
      <c r="D22" t="s">
        <v>39</v>
      </c>
      <c r="E22" t="s">
        <v>38</v>
      </c>
      <c r="F22" s="7">
        <v>2</v>
      </c>
      <c r="G22" s="4">
        <v>98</v>
      </c>
      <c r="H22" s="3">
        <v>1.67</v>
      </c>
      <c r="I22" s="2">
        <f>+G22/(H22*H22)</f>
        <v>35.139302233855645</v>
      </c>
      <c r="J22" s="2" t="s">
        <v>37</v>
      </c>
      <c r="K22">
        <v>181</v>
      </c>
      <c r="L22" s="1">
        <v>166.50030892376702</v>
      </c>
      <c r="M22" s="1">
        <v>110</v>
      </c>
      <c r="N22" s="1">
        <v>100</v>
      </c>
      <c r="O22" t="s">
        <v>36</v>
      </c>
      <c r="P22" t="s">
        <v>4</v>
      </c>
      <c r="Q22" t="s">
        <v>3</v>
      </c>
      <c r="S22" t="s">
        <v>2</v>
      </c>
      <c r="T22" t="s">
        <v>27</v>
      </c>
      <c r="U22" t="s">
        <v>4</v>
      </c>
    </row>
    <row r="23" spans="1:21" x14ac:dyDescent="0.2">
      <c r="A23">
        <v>30031</v>
      </c>
      <c r="B23" t="s">
        <v>35</v>
      </c>
      <c r="C23">
        <v>71</v>
      </c>
      <c r="D23" s="5">
        <v>43862</v>
      </c>
      <c r="E23" s="5">
        <v>44044</v>
      </c>
      <c r="F23" s="7">
        <v>1</v>
      </c>
      <c r="G23" s="4">
        <v>57</v>
      </c>
      <c r="H23" s="3">
        <v>1.67</v>
      </c>
      <c r="I23" s="2">
        <f>+G23/(H23*H23)</f>
        <v>20.43816558499767</v>
      </c>
      <c r="J23" s="2" t="s">
        <v>5</v>
      </c>
      <c r="K23">
        <v>182</v>
      </c>
      <c r="L23" s="1">
        <v>201.37483927174682</v>
      </c>
      <c r="M23" s="1">
        <v>89</v>
      </c>
      <c r="N23" s="1">
        <v>75.451693575293476</v>
      </c>
      <c r="O23" t="s">
        <v>0</v>
      </c>
      <c r="P23" t="s">
        <v>0</v>
      </c>
      <c r="Q23" t="s">
        <v>3</v>
      </c>
      <c r="S23" t="s">
        <v>14</v>
      </c>
      <c r="T23" t="s">
        <v>34</v>
      </c>
      <c r="U23" t="s">
        <v>12</v>
      </c>
    </row>
    <row r="24" spans="1:21" x14ac:dyDescent="0.2">
      <c r="A24">
        <v>30032</v>
      </c>
      <c r="B24" t="s">
        <v>33</v>
      </c>
      <c r="C24">
        <v>73</v>
      </c>
      <c r="D24" s="5">
        <v>44012</v>
      </c>
      <c r="E24" s="5">
        <v>44195</v>
      </c>
      <c r="F24" s="7">
        <v>3</v>
      </c>
      <c r="G24" s="4">
        <v>90</v>
      </c>
      <c r="H24" s="3">
        <v>1.71</v>
      </c>
      <c r="I24" s="2">
        <f>+G24/(H24*H24)</f>
        <v>30.778701138811947</v>
      </c>
      <c r="J24" s="2" t="s">
        <v>5</v>
      </c>
      <c r="K24">
        <v>183</v>
      </c>
      <c r="L24" s="1">
        <v>107.59316817559059</v>
      </c>
      <c r="M24" s="1">
        <v>100</v>
      </c>
      <c r="N24" s="1">
        <v>97.687081193765806</v>
      </c>
      <c r="O24" t="s">
        <v>0</v>
      </c>
      <c r="P24" t="s">
        <v>0</v>
      </c>
      <c r="Q24" t="s">
        <v>3</v>
      </c>
      <c r="S24" t="s">
        <v>14</v>
      </c>
      <c r="T24" t="s">
        <v>32</v>
      </c>
      <c r="U24" t="s">
        <v>23</v>
      </c>
    </row>
    <row r="25" spans="1:21" x14ac:dyDescent="0.2">
      <c r="A25">
        <v>30033</v>
      </c>
      <c r="B25" t="s">
        <v>31</v>
      </c>
      <c r="C25">
        <v>80</v>
      </c>
      <c r="D25" s="6" t="s">
        <v>30</v>
      </c>
      <c r="E25" s="6" t="s">
        <v>29</v>
      </c>
      <c r="F25" t="s">
        <v>28</v>
      </c>
      <c r="G25" s="4">
        <v>98</v>
      </c>
      <c r="H25" s="3">
        <v>1.75</v>
      </c>
      <c r="I25" s="2">
        <f>+G25/(H25*H25)</f>
        <v>32</v>
      </c>
      <c r="J25" s="2" t="s">
        <v>5</v>
      </c>
      <c r="K25">
        <v>184</v>
      </c>
      <c r="L25" s="1">
        <v>162.78372435506753</v>
      </c>
      <c r="M25" s="1">
        <v>98.673187266535507</v>
      </c>
      <c r="N25" s="1">
        <v>100</v>
      </c>
      <c r="O25" t="s">
        <v>0</v>
      </c>
      <c r="P25" t="s">
        <v>4</v>
      </c>
      <c r="Q25" t="s">
        <v>3</v>
      </c>
      <c r="S25" t="s">
        <v>9</v>
      </c>
      <c r="T25" t="s">
        <v>27</v>
      </c>
      <c r="U25" t="s">
        <v>12</v>
      </c>
    </row>
    <row r="26" spans="1:21" x14ac:dyDescent="0.2">
      <c r="A26">
        <v>30034</v>
      </c>
      <c r="B26" t="s">
        <v>26</v>
      </c>
      <c r="C26">
        <v>85</v>
      </c>
      <c r="D26" s="5">
        <v>44470</v>
      </c>
      <c r="E26" s="5">
        <v>44625</v>
      </c>
      <c r="F26" t="s">
        <v>15</v>
      </c>
      <c r="G26" s="4">
        <v>90</v>
      </c>
      <c r="H26" s="3">
        <v>1.76</v>
      </c>
      <c r="I26" s="2">
        <f>+G26/(H26*H26)</f>
        <v>29.054752066115704</v>
      </c>
      <c r="J26" s="2" t="s">
        <v>5</v>
      </c>
      <c r="K26">
        <v>157</v>
      </c>
      <c r="L26" s="1">
        <v>182.66997050375704</v>
      </c>
      <c r="M26" s="1">
        <v>80</v>
      </c>
      <c r="N26" s="1">
        <v>71.638681164498806</v>
      </c>
      <c r="O26" t="s">
        <v>4</v>
      </c>
      <c r="P26" t="s">
        <v>0</v>
      </c>
      <c r="Q26" t="s">
        <v>3</v>
      </c>
      <c r="S26" t="s">
        <v>25</v>
      </c>
      <c r="T26" t="s">
        <v>24</v>
      </c>
      <c r="U26" t="s">
        <v>23</v>
      </c>
    </row>
    <row r="27" spans="1:21" x14ac:dyDescent="0.2">
      <c r="A27">
        <v>30035</v>
      </c>
      <c r="B27" t="s">
        <v>22</v>
      </c>
      <c r="C27">
        <v>78</v>
      </c>
      <c r="D27" s="6" t="s">
        <v>21</v>
      </c>
      <c r="E27" s="6" t="s">
        <v>20</v>
      </c>
      <c r="F27" t="s">
        <v>15</v>
      </c>
      <c r="G27" s="4">
        <v>91</v>
      </c>
      <c r="H27" s="3">
        <v>175</v>
      </c>
      <c r="I27" s="2">
        <v>29</v>
      </c>
      <c r="J27" s="2" t="s">
        <v>5</v>
      </c>
      <c r="K27">
        <v>158</v>
      </c>
      <c r="L27" s="1">
        <v>179.04391791540019</v>
      </c>
      <c r="M27" s="1">
        <v>100</v>
      </c>
      <c r="N27" s="1">
        <v>93.214173738066094</v>
      </c>
      <c r="O27" t="s">
        <v>0</v>
      </c>
      <c r="P27" t="s">
        <v>0</v>
      </c>
      <c r="Q27" t="s">
        <v>3</v>
      </c>
      <c r="S27" t="s">
        <v>2</v>
      </c>
      <c r="T27" t="s">
        <v>19</v>
      </c>
      <c r="U27" t="s">
        <v>12</v>
      </c>
    </row>
    <row r="28" spans="1:21" x14ac:dyDescent="0.2">
      <c r="A28">
        <v>30036</v>
      </c>
      <c r="B28" t="s">
        <v>18</v>
      </c>
      <c r="C28">
        <v>56</v>
      </c>
      <c r="D28" s="6" t="s">
        <v>17</v>
      </c>
      <c r="E28" s="6" t="s">
        <v>16</v>
      </c>
      <c r="F28" t="s">
        <v>15</v>
      </c>
      <c r="G28" s="4">
        <v>92</v>
      </c>
      <c r="H28" s="3">
        <v>143</v>
      </c>
      <c r="I28" s="2">
        <v>45</v>
      </c>
      <c r="J28" s="2" t="s">
        <v>5</v>
      </c>
      <c r="K28">
        <v>159</v>
      </c>
      <c r="L28" s="1">
        <v>147.5863942970856</v>
      </c>
      <c r="M28" s="1">
        <v>75</v>
      </c>
      <c r="N28" s="1">
        <v>70.02510303253797</v>
      </c>
      <c r="O28" t="s">
        <v>4</v>
      </c>
      <c r="P28" t="s">
        <v>0</v>
      </c>
      <c r="Q28" t="s">
        <v>3</v>
      </c>
      <c r="S28" t="s">
        <v>14</v>
      </c>
      <c r="T28" t="s">
        <v>13</v>
      </c>
      <c r="U28" t="s">
        <v>12</v>
      </c>
    </row>
    <row r="29" spans="1:21" x14ac:dyDescent="0.2">
      <c r="A29">
        <v>30037</v>
      </c>
      <c r="B29" t="s">
        <v>11</v>
      </c>
      <c r="C29">
        <v>57</v>
      </c>
      <c r="D29" s="5">
        <v>43988</v>
      </c>
      <c r="E29" s="5">
        <v>44229</v>
      </c>
      <c r="F29" t="s">
        <v>10</v>
      </c>
      <c r="G29" s="4">
        <v>93</v>
      </c>
      <c r="H29" s="3">
        <v>1.67</v>
      </c>
      <c r="I29" s="2">
        <f>+G29/(H29*H29)</f>
        <v>33.346480691311989</v>
      </c>
      <c r="J29" s="2" t="s">
        <v>5</v>
      </c>
      <c r="K29">
        <v>160</v>
      </c>
      <c r="L29" s="1">
        <v>160</v>
      </c>
      <c r="M29" s="1">
        <v>100</v>
      </c>
      <c r="N29" s="1">
        <v>95.423968820894288</v>
      </c>
      <c r="O29" t="s">
        <v>0</v>
      </c>
      <c r="P29" t="s">
        <v>4</v>
      </c>
      <c r="Q29" t="s">
        <v>3</v>
      </c>
      <c r="S29" t="s">
        <v>9</v>
      </c>
      <c r="T29" t="s">
        <v>8</v>
      </c>
      <c r="U29" t="s">
        <v>0</v>
      </c>
    </row>
    <row r="30" spans="1:21" x14ac:dyDescent="0.2">
      <c r="A30">
        <v>30038</v>
      </c>
      <c r="B30" t="s">
        <v>7</v>
      </c>
      <c r="C30">
        <v>60</v>
      </c>
      <c r="D30" s="5">
        <v>44020</v>
      </c>
      <c r="E30" s="5">
        <v>44206</v>
      </c>
      <c r="F30" t="s">
        <v>6</v>
      </c>
      <c r="G30" s="4">
        <v>94</v>
      </c>
      <c r="H30" s="3">
        <v>1.69</v>
      </c>
      <c r="I30" s="2">
        <f>+G30/(H30*H30)</f>
        <v>32.912012884702918</v>
      </c>
      <c r="J30" s="2" t="s">
        <v>5</v>
      </c>
      <c r="K30">
        <v>161</v>
      </c>
      <c r="L30" s="1">
        <v>160</v>
      </c>
      <c r="M30" s="1">
        <v>90</v>
      </c>
      <c r="N30" s="1">
        <v>91.171792191254724</v>
      </c>
      <c r="O30" t="s">
        <v>4</v>
      </c>
      <c r="P30" t="s">
        <v>4</v>
      </c>
      <c r="Q30" t="s">
        <v>3</v>
      </c>
      <c r="S30" t="s">
        <v>2</v>
      </c>
      <c r="T30" t="s">
        <v>1</v>
      </c>
      <c r="U30" t="s">
        <v>0</v>
      </c>
    </row>
    <row r="31" spans="1:21" x14ac:dyDescent="0.2">
      <c r="N31" s="1"/>
    </row>
    <row r="32" spans="1:21" x14ac:dyDescent="0.2">
      <c r="N32" s="1"/>
    </row>
    <row r="33" spans="14:14" x14ac:dyDescent="0.2">
      <c r="N33" s="1"/>
    </row>
    <row r="34" spans="14:14" x14ac:dyDescent="0.2">
      <c r="N34" s="1"/>
    </row>
    <row r="35" spans="14:14" x14ac:dyDescent="0.2">
      <c r="N35" s="1"/>
    </row>
    <row r="36" spans="14:14" x14ac:dyDescent="0.2">
      <c r="N36" s="1"/>
    </row>
    <row r="37" spans="14:14" x14ac:dyDescent="0.2">
      <c r="N37" s="1"/>
    </row>
    <row r="38" spans="14:14" x14ac:dyDescent="0.2">
      <c r="N38" s="1"/>
    </row>
    <row r="39" spans="14:14" x14ac:dyDescent="0.2">
      <c r="N39" s="1"/>
    </row>
    <row r="40" spans="14:14" x14ac:dyDescent="0.2">
      <c r="N40" s="1"/>
    </row>
    <row r="41" spans="14:14" x14ac:dyDescent="0.2">
      <c r="N41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Hausarbeit25_FDM-Daten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Kerstin Gierend</dc:creator>
  <cp:lastModifiedBy>Kerstin Gierend</cp:lastModifiedBy>
  <dcterms:created xsi:type="dcterms:W3CDTF">2025-03-23T18:20:07Z</dcterms:created>
  <dcterms:modified xsi:type="dcterms:W3CDTF">2025-03-23T18:32:03Z</dcterms:modified>
</cp:coreProperties>
</file>